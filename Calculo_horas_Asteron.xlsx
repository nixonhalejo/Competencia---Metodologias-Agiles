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gabrielleal/Documents/SENA/IV trimestre/MET AGILES/"/>
    </mc:Choice>
  </mc:AlternateContent>
  <xr:revisionPtr revIDLastSave="0" documentId="13_ncr:1_{6DB0927E-49DC-3540-BDEA-1898306BE326}" xr6:coauthVersionLast="47" xr6:coauthVersionMax="47" xr10:uidLastSave="{00000000-0000-0000-0000-000000000000}"/>
  <bookViews>
    <workbookView xWindow="0" yWindow="620" windowWidth="28800" windowHeight="17380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G44" i="1"/>
  <c r="G43" i="1"/>
  <c r="G42" i="1"/>
  <c r="G41" i="1"/>
  <c r="G40" i="1"/>
  <c r="G39" i="1"/>
  <c r="H38" i="1"/>
  <c r="G38" i="1"/>
  <c r="E36" i="1"/>
  <c r="D36" i="1"/>
  <c r="G33" i="1"/>
  <c r="G32" i="1"/>
  <c r="G31" i="1"/>
  <c r="G30" i="1"/>
  <c r="G29" i="1"/>
  <c r="G28" i="1"/>
  <c r="H27" i="1"/>
  <c r="G27" i="1"/>
  <c r="E25" i="1"/>
  <c r="D25" i="1"/>
  <c r="G22" i="1"/>
  <c r="G21" i="1"/>
  <c r="G20" i="1"/>
  <c r="G19" i="1"/>
  <c r="G18" i="1"/>
  <c r="G17" i="1"/>
  <c r="H16" i="1"/>
  <c r="G16" i="1"/>
  <c r="E14" i="1"/>
  <c r="D14" i="1"/>
  <c r="G11" i="1"/>
  <c r="G10" i="1"/>
  <c r="G9" i="1"/>
  <c r="G8" i="1"/>
  <c r="G7" i="1"/>
  <c r="G6" i="1"/>
  <c r="H5" i="1"/>
  <c r="G5" i="1"/>
  <c r="D3" i="1"/>
</calcChain>
</file>

<file path=xl/sharedStrings.xml><?xml version="1.0" encoding="utf-8"?>
<sst xmlns="http://schemas.openxmlformats.org/spreadsheetml/2006/main" count="68" uniqueCount="44">
  <si>
    <t>SPRINT 1</t>
  </si>
  <si>
    <t>Semanas destinadas</t>
  </si>
  <si>
    <t>HISTORIA DE USUARIO</t>
  </si>
  <si>
    <t>PUNTAJE</t>
  </si>
  <si>
    <t>INTEGRANTES</t>
  </si>
  <si>
    <t>DÍAS DEDICADOS A LA HISTORIA</t>
  </si>
  <si>
    <t>HORAS DEL DÍA</t>
  </si>
  <si>
    <t>CAPACIDAD TOTAL (HORAS)</t>
  </si>
  <si>
    <t>VELOCIDAD</t>
  </si>
  <si>
    <t>HU-01 Crear Usuario</t>
  </si>
  <si>
    <t>HU-02 Consultar Usuarios</t>
  </si>
  <si>
    <t>HU-03 Modificar Usuario</t>
  </si>
  <si>
    <t>HU-04 Inactivar Usuario</t>
  </si>
  <si>
    <t>HU-05 Crear Empleado</t>
  </si>
  <si>
    <t>HU-06 Consultar Empleados</t>
  </si>
  <si>
    <t>HU-07 Modificar Empleado</t>
  </si>
  <si>
    <t>SPRINT 2</t>
  </si>
  <si>
    <t>HU-08 Inactivar Empleado</t>
  </si>
  <si>
    <t>HU-09 Crear Proyecto</t>
  </si>
  <si>
    <t>HU-10 Consultar Proyectos</t>
  </si>
  <si>
    <t>HU-11 Actualizar Estado Proyecto</t>
  </si>
  <si>
    <t>HU-12 Cancelar Proyecto</t>
  </si>
  <si>
    <t>HU-13 Subir Plano</t>
  </si>
  <si>
    <t>HU-14 Consultar Planos</t>
  </si>
  <si>
    <t>SPRINT 3</t>
  </si>
  <si>
    <t>HU-15 Versionar Plano</t>
  </si>
  <si>
    <t>HU-16 Inactivar Versión Plano</t>
  </si>
  <si>
    <t>HU-17 Registrar Actividad</t>
  </si>
  <si>
    <t>HU-18 Consultar Actividades</t>
  </si>
  <si>
    <t>HU-19 Actualizar Avance Actividad</t>
  </si>
  <si>
    <t>HU-20 Cancelar Actividad</t>
  </si>
  <si>
    <t>HU-21 Subir Fotografía</t>
  </si>
  <si>
    <t>SPRINT 4</t>
  </si>
  <si>
    <t>HU-22 Consultar Fotografías</t>
  </si>
  <si>
    <t>HU-23 Editar Descripción Foto</t>
  </si>
  <si>
    <t>HU-24 Eliminar Fotografía</t>
  </si>
  <si>
    <t>HU-25 Registrar Tiempo</t>
  </si>
  <si>
    <t>HU-26 Consultar Tiempos</t>
  </si>
  <si>
    <t>HU-27 Corregir Registro Tiempo</t>
  </si>
  <si>
    <t>HU-28 Anular Registro Tiempo</t>
  </si>
  <si>
    <t>Gestión de Proyectos y Planos</t>
  </si>
  <si>
    <t>Versiones Actividades y Fotografias</t>
  </si>
  <si>
    <t>Gestion de Usuarios y Empleados</t>
  </si>
  <si>
    <t>Control de Tiempos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</si>
</sst>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2"/>
      <color theme="1"/>
      <name val="Arial"/>
      <family val="2"/>
    </font>
    <font>
      <b/>
      <sz val="12"/>
      <color theme="0"/>
      <name val="Arial"/>
      <family val="2"/>
    </font>
    <font>
      <b/>
      <sz val="12"/>
      <color rgb="FFFFFFFF"/>
      <name val="Arial"/>
      <family val="2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2" fillId="2" borderId="4" xfId="0" applyFont="1" applyFill="1" applyBorder="1" applyAlignment="1">
      <alignment horizontal="center" vertical="top"/>
    </xf>
    <xf numFmtId="0" fontId="1" fillId="0" borderId="12" xfId="0" applyFont="1" applyBorder="1"/>
    <xf numFmtId="0" fontId="1" fillId="0" borderId="13" xfId="0" applyFont="1" applyBorder="1"/>
    <xf numFmtId="0" fontId="1" fillId="0" borderId="14" xfId="0" applyFont="1" applyBorder="1"/>
    <xf numFmtId="0" fontId="2" fillId="2" borderId="4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1" fillId="0" borderId="23" xfId="0" applyFont="1" applyBorder="1"/>
    <xf numFmtId="0" fontId="1" fillId="0" borderId="24" xfId="0" applyFont="1" applyBorder="1"/>
    <xf numFmtId="0" fontId="2" fillId="2" borderId="18" xfId="0" applyFont="1" applyFill="1" applyBorder="1" applyAlignment="1">
      <alignment horizontal="center"/>
    </xf>
    <xf numFmtId="0" fontId="1" fillId="0" borderId="25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top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top"/>
    </xf>
    <xf numFmtId="0" fontId="1" fillId="0" borderId="13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2" fillId="2" borderId="17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2" borderId="34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4" fillId="0" borderId="19" xfId="0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33" xfId="0" applyFont="1" applyBorder="1"/>
    <xf numFmtId="0" fontId="1" fillId="0" borderId="30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28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981"/>
  <sheetViews>
    <sheetView tabSelected="1" topLeftCell="A10" zoomScale="104" workbookViewId="0">
      <selection activeCell="J35" sqref="J35"/>
    </sheetView>
  </sheetViews>
  <sheetFormatPr baseColWidth="10" defaultColWidth="14.5" defaultRowHeight="15" customHeight="1" x14ac:dyDescent="0.2"/>
  <cols>
    <col min="1" max="1" width="10.6640625" customWidth="1"/>
    <col min="2" max="2" width="35.1640625" bestFit="1" customWidth="1"/>
    <col min="3" max="3" width="11.5" customWidth="1"/>
    <col min="4" max="4" width="17.33203125" customWidth="1"/>
    <col min="5" max="5" width="36.83203125" customWidth="1"/>
    <col min="6" max="6" width="19" customWidth="1"/>
    <col min="7" max="7" width="33.6640625" customWidth="1"/>
    <col min="8" max="8" width="15" customWidth="1"/>
    <col min="9" max="26" width="10.6640625" customWidth="1"/>
  </cols>
  <sheetData>
    <row r="1" spans="2:8" ht="15" customHeight="1" thickBot="1" x14ac:dyDescent="0.25"/>
    <row r="2" spans="2:8" ht="17" thickBot="1" x14ac:dyDescent="0.25">
      <c r="B2" s="41" t="s">
        <v>0</v>
      </c>
      <c r="C2" s="43" t="s">
        <v>42</v>
      </c>
      <c r="D2" s="44"/>
      <c r="E2" s="44"/>
      <c r="F2" s="44"/>
      <c r="G2" s="44"/>
      <c r="H2" s="45"/>
    </row>
    <row r="3" spans="2:8" ht="17" thickBot="1" x14ac:dyDescent="0.25">
      <c r="B3" s="42" t="s">
        <v>1</v>
      </c>
      <c r="C3" s="42">
        <v>2</v>
      </c>
      <c r="D3" s="42" t="str">
        <f>IF(C3&gt;4,"No viable","Viable")</f>
        <v>Viable</v>
      </c>
      <c r="E3" s="46" t="str">
        <f>CONCATENATE("Las semanas destinadas son: "&amp;C3)</f>
        <v>Las semanas destinadas son: 2</v>
      </c>
      <c r="F3" s="47"/>
      <c r="G3" s="47"/>
      <c r="H3" s="48"/>
    </row>
    <row r="4" spans="2:8" ht="17" thickBot="1" x14ac:dyDescent="0.25">
      <c r="B4" s="1" t="s">
        <v>2</v>
      </c>
      <c r="C4" s="1" t="s">
        <v>3</v>
      </c>
      <c r="D4" s="1" t="s">
        <v>4</v>
      </c>
      <c r="E4" s="16" t="s">
        <v>5</v>
      </c>
      <c r="F4" s="1" t="s">
        <v>6</v>
      </c>
      <c r="G4" s="1" t="s">
        <v>7</v>
      </c>
      <c r="H4" s="12" t="s">
        <v>8</v>
      </c>
    </row>
    <row r="5" spans="2:8" ht="16" x14ac:dyDescent="0.2">
      <c r="B5" s="2" t="s">
        <v>9</v>
      </c>
      <c r="C5" s="18">
        <v>3</v>
      </c>
      <c r="D5" s="18">
        <v>3</v>
      </c>
      <c r="E5" s="53">
        <v>2</v>
      </c>
      <c r="F5" s="18">
        <v>4</v>
      </c>
      <c r="G5" s="18">
        <f t="shared" ref="G5:G11" si="0">D5*E5*F5</f>
        <v>24</v>
      </c>
      <c r="H5" s="13">
        <f>SUM(C5:C11)</f>
        <v>23</v>
      </c>
    </row>
    <row r="6" spans="2:8" ht="16" x14ac:dyDescent="0.2">
      <c r="B6" s="3" t="s">
        <v>10</v>
      </c>
      <c r="C6" s="17">
        <v>3</v>
      </c>
      <c r="D6" s="17">
        <v>3</v>
      </c>
      <c r="E6" s="54">
        <v>2</v>
      </c>
      <c r="F6" s="17">
        <v>4</v>
      </c>
      <c r="G6" s="17">
        <f t="shared" si="0"/>
        <v>24</v>
      </c>
      <c r="H6" s="14"/>
    </row>
    <row r="7" spans="2:8" ht="16" x14ac:dyDescent="0.2">
      <c r="B7" s="3" t="s">
        <v>11</v>
      </c>
      <c r="C7" s="17">
        <v>3</v>
      </c>
      <c r="D7" s="17">
        <v>3</v>
      </c>
      <c r="E7" s="54">
        <v>2</v>
      </c>
      <c r="F7" s="17">
        <v>4</v>
      </c>
      <c r="G7" s="17">
        <f t="shared" si="0"/>
        <v>24</v>
      </c>
      <c r="H7" s="14"/>
    </row>
    <row r="8" spans="2:8" ht="16" x14ac:dyDescent="0.2">
      <c r="B8" s="3" t="s">
        <v>12</v>
      </c>
      <c r="C8" s="17">
        <v>3</v>
      </c>
      <c r="D8" s="17">
        <v>3</v>
      </c>
      <c r="E8" s="54">
        <v>1</v>
      </c>
      <c r="F8" s="17">
        <v>4</v>
      </c>
      <c r="G8" s="17">
        <f t="shared" si="0"/>
        <v>12</v>
      </c>
      <c r="H8" s="14"/>
    </row>
    <row r="9" spans="2:8" ht="16" x14ac:dyDescent="0.2">
      <c r="B9" s="3" t="s">
        <v>13</v>
      </c>
      <c r="C9" s="17">
        <v>5</v>
      </c>
      <c r="D9" s="17">
        <v>3</v>
      </c>
      <c r="E9" s="54">
        <v>2</v>
      </c>
      <c r="F9" s="17">
        <v>4</v>
      </c>
      <c r="G9" s="17">
        <f t="shared" si="0"/>
        <v>24</v>
      </c>
      <c r="H9" s="14"/>
    </row>
    <row r="10" spans="2:8" ht="15.75" customHeight="1" x14ac:dyDescent="0.2">
      <c r="B10" s="3" t="s">
        <v>14</v>
      </c>
      <c r="C10" s="17">
        <v>3</v>
      </c>
      <c r="D10" s="17">
        <v>3</v>
      </c>
      <c r="E10" s="54">
        <v>2</v>
      </c>
      <c r="F10" s="17">
        <v>4</v>
      </c>
      <c r="G10" s="17">
        <f t="shared" si="0"/>
        <v>24</v>
      </c>
      <c r="H10" s="14"/>
    </row>
    <row r="11" spans="2:8" ht="15.75" customHeight="1" thickBot="1" x14ac:dyDescent="0.25">
      <c r="B11" s="4" t="s">
        <v>15</v>
      </c>
      <c r="C11" s="55">
        <v>3</v>
      </c>
      <c r="D11" s="55">
        <v>3</v>
      </c>
      <c r="E11" s="56">
        <v>1</v>
      </c>
      <c r="F11" s="55">
        <v>4</v>
      </c>
      <c r="G11" s="55">
        <f t="shared" si="0"/>
        <v>12</v>
      </c>
      <c r="H11" s="15"/>
    </row>
    <row r="12" spans="2:8" ht="15.75" customHeight="1" thickBot="1" x14ac:dyDescent="0.25"/>
    <row r="13" spans="2:8" ht="15.75" customHeight="1" thickBot="1" x14ac:dyDescent="0.25">
      <c r="B13" s="41" t="s">
        <v>16</v>
      </c>
      <c r="C13" s="30" t="s">
        <v>40</v>
      </c>
      <c r="D13" s="30"/>
      <c r="E13" s="30"/>
      <c r="F13" s="30"/>
      <c r="G13" s="30"/>
      <c r="H13" s="32"/>
    </row>
    <row r="14" spans="2:8" ht="15.75" customHeight="1" thickBot="1" x14ac:dyDescent="0.25">
      <c r="B14" s="42" t="s">
        <v>1</v>
      </c>
      <c r="C14" s="42">
        <v>2</v>
      </c>
      <c r="D14" s="42" t="str">
        <f>IF(C14&gt;4,"No viable","Viable")</f>
        <v>Viable</v>
      </c>
      <c r="E14" s="33" t="str">
        <f>CONCATENATE("Las semanas destinadas son: "&amp;C14)</f>
        <v>Las semanas destinadas son: 2</v>
      </c>
      <c r="F14" s="33"/>
      <c r="G14" s="33"/>
      <c r="H14" s="34"/>
    </row>
    <row r="15" spans="2:8" ht="15.75" customHeight="1" thickBot="1" x14ac:dyDescent="0.25">
      <c r="B15" s="5" t="s">
        <v>2</v>
      </c>
      <c r="C15" s="5" t="s">
        <v>3</v>
      </c>
      <c r="D15" s="5" t="s">
        <v>4</v>
      </c>
      <c r="E15" s="6" t="s">
        <v>5</v>
      </c>
      <c r="F15" s="5" t="s">
        <v>6</v>
      </c>
      <c r="G15" s="5" t="s">
        <v>7</v>
      </c>
      <c r="H15" s="9" t="s">
        <v>8</v>
      </c>
    </row>
    <row r="16" spans="2:8" ht="15.75" customHeight="1" x14ac:dyDescent="0.2">
      <c r="B16" s="2" t="s">
        <v>17</v>
      </c>
      <c r="C16" s="18">
        <v>3</v>
      </c>
      <c r="D16" s="18">
        <v>3</v>
      </c>
      <c r="E16" s="57">
        <v>1</v>
      </c>
      <c r="F16" s="18">
        <v>4</v>
      </c>
      <c r="G16" s="18">
        <f t="shared" ref="G16:G22" si="1">D16*E16*F16</f>
        <v>12</v>
      </c>
      <c r="H16" s="10">
        <f>SUM(C16:C22)</f>
        <v>30</v>
      </c>
    </row>
    <row r="17" spans="2:8" ht="15.75" customHeight="1" x14ac:dyDescent="0.2">
      <c r="B17" s="3" t="s">
        <v>18</v>
      </c>
      <c r="C17" s="17">
        <v>5</v>
      </c>
      <c r="D17" s="17">
        <v>3</v>
      </c>
      <c r="E17" s="31">
        <v>3</v>
      </c>
      <c r="F17" s="17">
        <v>4</v>
      </c>
      <c r="G17" s="17">
        <f t="shared" si="1"/>
        <v>36</v>
      </c>
      <c r="H17" s="10"/>
    </row>
    <row r="18" spans="2:8" ht="15.75" customHeight="1" x14ac:dyDescent="0.2">
      <c r="B18" s="3" t="s">
        <v>19</v>
      </c>
      <c r="C18" s="17">
        <v>3</v>
      </c>
      <c r="D18" s="17">
        <v>3</v>
      </c>
      <c r="E18" s="31">
        <v>2</v>
      </c>
      <c r="F18" s="17">
        <v>4</v>
      </c>
      <c r="G18" s="17">
        <f t="shared" si="1"/>
        <v>24</v>
      </c>
      <c r="H18" s="10"/>
    </row>
    <row r="19" spans="2:8" ht="15.75" customHeight="1" x14ac:dyDescent="0.2">
      <c r="B19" s="3" t="s">
        <v>20</v>
      </c>
      <c r="C19" s="17">
        <v>5</v>
      </c>
      <c r="D19" s="17">
        <v>3</v>
      </c>
      <c r="E19" s="31">
        <v>2</v>
      </c>
      <c r="F19" s="17">
        <v>4</v>
      </c>
      <c r="G19" s="17">
        <f t="shared" si="1"/>
        <v>24</v>
      </c>
      <c r="H19" s="10"/>
    </row>
    <row r="20" spans="2:8" ht="15.75" customHeight="1" x14ac:dyDescent="0.2">
      <c r="B20" s="3" t="s">
        <v>21</v>
      </c>
      <c r="C20" s="17">
        <v>3</v>
      </c>
      <c r="D20" s="17">
        <v>3</v>
      </c>
      <c r="E20" s="31">
        <v>1</v>
      </c>
      <c r="F20" s="17">
        <v>4</v>
      </c>
      <c r="G20" s="17">
        <f t="shared" si="1"/>
        <v>12</v>
      </c>
      <c r="H20" s="10"/>
    </row>
    <row r="21" spans="2:8" ht="15.75" customHeight="1" x14ac:dyDescent="0.2">
      <c r="B21" s="3" t="s">
        <v>22</v>
      </c>
      <c r="C21" s="17">
        <v>8</v>
      </c>
      <c r="D21" s="17">
        <v>3</v>
      </c>
      <c r="E21" s="31">
        <v>4</v>
      </c>
      <c r="F21" s="17">
        <v>4</v>
      </c>
      <c r="G21" s="17">
        <f t="shared" si="1"/>
        <v>48</v>
      </c>
      <c r="H21" s="10"/>
    </row>
    <row r="22" spans="2:8" ht="15.75" customHeight="1" thickBot="1" x14ac:dyDescent="0.25">
      <c r="B22" s="4" t="s">
        <v>23</v>
      </c>
      <c r="C22" s="55">
        <v>3</v>
      </c>
      <c r="D22" s="55">
        <v>3</v>
      </c>
      <c r="E22" s="58">
        <v>2</v>
      </c>
      <c r="F22" s="55">
        <v>4</v>
      </c>
      <c r="G22" s="55">
        <f t="shared" si="1"/>
        <v>24</v>
      </c>
      <c r="H22" s="11"/>
    </row>
    <row r="23" spans="2:8" ht="15.75" customHeight="1" thickBot="1" x14ac:dyDescent="0.25"/>
    <row r="24" spans="2:8" ht="15.75" customHeight="1" thickBot="1" x14ac:dyDescent="0.25">
      <c r="B24" s="19" t="s">
        <v>24</v>
      </c>
      <c r="C24" s="30" t="s">
        <v>41</v>
      </c>
      <c r="D24" s="30"/>
      <c r="E24" s="30"/>
      <c r="F24" s="30"/>
      <c r="G24" s="30"/>
      <c r="H24" s="32"/>
    </row>
    <row r="25" spans="2:8" ht="15.75" customHeight="1" thickBot="1" x14ac:dyDescent="0.25">
      <c r="B25" s="35" t="s">
        <v>1</v>
      </c>
      <c r="C25" s="27">
        <v>2</v>
      </c>
      <c r="D25" s="27" t="str">
        <f>IF(C25&gt;4,"No viable","Viable")</f>
        <v>Viable</v>
      </c>
      <c r="E25" s="36" t="str">
        <f>CONCATENATE("Las semanas destinadas son: "&amp;C25)</f>
        <v>Las semanas destinadas son: 2</v>
      </c>
      <c r="F25" s="37"/>
      <c r="G25" s="37"/>
      <c r="H25" s="38"/>
    </row>
    <row r="26" spans="2:8" ht="15.75" customHeight="1" thickBot="1" x14ac:dyDescent="0.25">
      <c r="B26" s="39" t="s">
        <v>2</v>
      </c>
      <c r="C26" s="5" t="s">
        <v>3</v>
      </c>
      <c r="D26" s="5" t="s">
        <v>4</v>
      </c>
      <c r="E26" s="40" t="s">
        <v>5</v>
      </c>
      <c r="F26" s="5" t="s">
        <v>6</v>
      </c>
      <c r="G26" s="5" t="s">
        <v>7</v>
      </c>
      <c r="H26" s="5" t="s">
        <v>8</v>
      </c>
    </row>
    <row r="27" spans="2:8" ht="15.75" customHeight="1" x14ac:dyDescent="0.2">
      <c r="B27" s="49" t="s">
        <v>25</v>
      </c>
      <c r="C27" s="18">
        <v>8</v>
      </c>
      <c r="D27" s="18">
        <v>3</v>
      </c>
      <c r="E27" s="53">
        <v>4</v>
      </c>
      <c r="F27" s="18">
        <v>4</v>
      </c>
      <c r="G27" s="18">
        <f t="shared" ref="G27:G33" si="2">D27*E27*F27</f>
        <v>48</v>
      </c>
      <c r="H27" s="50">
        <f>SUM(C27:C33)</f>
        <v>37</v>
      </c>
    </row>
    <row r="28" spans="2:8" ht="15.75" customHeight="1" x14ac:dyDescent="0.2">
      <c r="B28" s="7" t="s">
        <v>26</v>
      </c>
      <c r="C28" s="17">
        <v>3</v>
      </c>
      <c r="D28" s="17">
        <v>3</v>
      </c>
      <c r="E28" s="54">
        <v>1</v>
      </c>
      <c r="F28" s="17">
        <v>4</v>
      </c>
      <c r="G28" s="17">
        <f t="shared" si="2"/>
        <v>12</v>
      </c>
      <c r="H28" s="50"/>
    </row>
    <row r="29" spans="2:8" ht="15.75" customHeight="1" x14ac:dyDescent="0.2">
      <c r="B29" s="7" t="s">
        <v>27</v>
      </c>
      <c r="C29" s="17">
        <v>5</v>
      </c>
      <c r="D29" s="17">
        <v>3</v>
      </c>
      <c r="E29" s="54">
        <v>3</v>
      </c>
      <c r="F29" s="17">
        <v>4</v>
      </c>
      <c r="G29" s="17">
        <f t="shared" si="2"/>
        <v>36</v>
      </c>
      <c r="H29" s="50"/>
    </row>
    <row r="30" spans="2:8" ht="15.75" customHeight="1" x14ac:dyDescent="0.2">
      <c r="B30" s="7" t="s">
        <v>28</v>
      </c>
      <c r="C30" s="17">
        <v>5</v>
      </c>
      <c r="D30" s="17">
        <v>3</v>
      </c>
      <c r="E30" s="54">
        <v>3</v>
      </c>
      <c r="F30" s="17">
        <v>4</v>
      </c>
      <c r="G30" s="17">
        <f t="shared" si="2"/>
        <v>36</v>
      </c>
      <c r="H30" s="50"/>
    </row>
    <row r="31" spans="2:8" ht="15.75" customHeight="1" x14ac:dyDescent="0.2">
      <c r="B31" s="7" t="s">
        <v>29</v>
      </c>
      <c r="C31" s="17">
        <v>8</v>
      </c>
      <c r="D31" s="17">
        <v>3</v>
      </c>
      <c r="E31" s="54">
        <v>4</v>
      </c>
      <c r="F31" s="17">
        <v>4</v>
      </c>
      <c r="G31" s="17">
        <f t="shared" si="2"/>
        <v>48</v>
      </c>
      <c r="H31" s="50"/>
    </row>
    <row r="32" spans="2:8" ht="15.75" customHeight="1" x14ac:dyDescent="0.2">
      <c r="B32" s="7" t="s">
        <v>30</v>
      </c>
      <c r="C32" s="17">
        <v>3</v>
      </c>
      <c r="D32" s="17">
        <v>3</v>
      </c>
      <c r="E32" s="54">
        <v>1</v>
      </c>
      <c r="F32" s="17">
        <v>4</v>
      </c>
      <c r="G32" s="17">
        <f t="shared" si="2"/>
        <v>12</v>
      </c>
      <c r="H32" s="50"/>
    </row>
    <row r="33" spans="2:8" ht="15.75" customHeight="1" thickBot="1" x14ac:dyDescent="0.25">
      <c r="B33" s="8" t="s">
        <v>31</v>
      </c>
      <c r="C33" s="55">
        <v>5</v>
      </c>
      <c r="D33" s="55">
        <v>3</v>
      </c>
      <c r="E33" s="56">
        <v>3</v>
      </c>
      <c r="F33" s="55">
        <v>4</v>
      </c>
      <c r="G33" s="55">
        <f t="shared" si="2"/>
        <v>36</v>
      </c>
      <c r="H33" s="51"/>
    </row>
    <row r="34" spans="2:8" ht="15.75" customHeight="1" thickBot="1" x14ac:dyDescent="0.25"/>
    <row r="35" spans="2:8" ht="15.75" customHeight="1" thickBot="1" x14ac:dyDescent="0.25">
      <c r="B35" s="19" t="s">
        <v>32</v>
      </c>
      <c r="C35" s="20" t="s">
        <v>43</v>
      </c>
      <c r="D35" s="21"/>
      <c r="E35" s="21"/>
      <c r="F35" s="21"/>
      <c r="G35" s="21"/>
      <c r="H35" s="22"/>
    </row>
    <row r="36" spans="2:8" ht="15.75" customHeight="1" thickBot="1" x14ac:dyDescent="0.25">
      <c r="B36" s="23" t="s">
        <v>1</v>
      </c>
      <c r="C36" s="27">
        <v>2</v>
      </c>
      <c r="D36" s="24" t="str">
        <f>IF(C36&gt;4,"No viable","Viable")</f>
        <v>Viable</v>
      </c>
      <c r="E36" s="25" t="str">
        <f>CONCATENATE("Las semanas destinadas son: "&amp;C36)</f>
        <v>Las semanas destinadas son: 2</v>
      </c>
      <c r="F36" s="25"/>
      <c r="G36" s="25"/>
      <c r="H36" s="26"/>
    </row>
    <row r="37" spans="2:8" ht="15.75" customHeight="1" thickBot="1" x14ac:dyDescent="0.25">
      <c r="B37" s="5" t="s">
        <v>2</v>
      </c>
      <c r="C37" s="5" t="s">
        <v>3</v>
      </c>
      <c r="D37" s="28" t="s">
        <v>4</v>
      </c>
      <c r="E37" s="29" t="s">
        <v>5</v>
      </c>
      <c r="F37" s="5" t="s">
        <v>6</v>
      </c>
      <c r="G37" s="5" t="s">
        <v>7</v>
      </c>
      <c r="H37" s="9" t="s">
        <v>8</v>
      </c>
    </row>
    <row r="38" spans="2:8" ht="15.75" customHeight="1" x14ac:dyDescent="0.2">
      <c r="B38" s="2" t="s">
        <v>33</v>
      </c>
      <c r="C38" s="18">
        <v>3</v>
      </c>
      <c r="D38" s="59">
        <v>3</v>
      </c>
      <c r="E38" s="18">
        <v>2</v>
      </c>
      <c r="F38" s="18">
        <v>4</v>
      </c>
      <c r="G38" s="18">
        <f t="shared" ref="G38:G44" si="3">D38*E38*F38</f>
        <v>24</v>
      </c>
      <c r="H38" s="52">
        <f>SUM(C38:C44)</f>
        <v>28</v>
      </c>
    </row>
    <row r="39" spans="2:8" ht="15.75" customHeight="1" x14ac:dyDescent="0.2">
      <c r="B39" s="3" t="s">
        <v>34</v>
      </c>
      <c r="C39" s="17">
        <v>2</v>
      </c>
      <c r="D39" s="60">
        <v>3</v>
      </c>
      <c r="E39" s="17">
        <v>1</v>
      </c>
      <c r="F39" s="17">
        <v>4</v>
      </c>
      <c r="G39" s="17">
        <f t="shared" si="3"/>
        <v>12</v>
      </c>
      <c r="H39" s="14"/>
    </row>
    <row r="40" spans="2:8" ht="15.75" customHeight="1" x14ac:dyDescent="0.2">
      <c r="B40" s="3" t="s">
        <v>35</v>
      </c>
      <c r="C40" s="17">
        <v>2</v>
      </c>
      <c r="D40" s="60">
        <v>3</v>
      </c>
      <c r="E40" s="17">
        <v>1</v>
      </c>
      <c r="F40" s="17">
        <v>4</v>
      </c>
      <c r="G40" s="17">
        <f t="shared" si="3"/>
        <v>12</v>
      </c>
      <c r="H40" s="14"/>
    </row>
    <row r="41" spans="2:8" ht="15.75" customHeight="1" x14ac:dyDescent="0.2">
      <c r="B41" s="3" t="s">
        <v>36</v>
      </c>
      <c r="C41" s="17">
        <v>5</v>
      </c>
      <c r="D41" s="60">
        <v>3</v>
      </c>
      <c r="E41" s="17">
        <v>3</v>
      </c>
      <c r="F41" s="17">
        <v>4</v>
      </c>
      <c r="G41" s="17">
        <f t="shared" si="3"/>
        <v>36</v>
      </c>
      <c r="H41" s="14"/>
    </row>
    <row r="42" spans="2:8" ht="15.75" customHeight="1" x14ac:dyDescent="0.2">
      <c r="B42" s="3" t="s">
        <v>37</v>
      </c>
      <c r="C42" s="17">
        <v>8</v>
      </c>
      <c r="D42" s="60">
        <v>3</v>
      </c>
      <c r="E42" s="17">
        <v>4</v>
      </c>
      <c r="F42" s="17">
        <v>4</v>
      </c>
      <c r="G42" s="17">
        <f t="shared" si="3"/>
        <v>48</v>
      </c>
      <c r="H42" s="14"/>
    </row>
    <row r="43" spans="2:8" ht="15.75" customHeight="1" x14ac:dyDescent="0.2">
      <c r="B43" s="3" t="s">
        <v>38</v>
      </c>
      <c r="C43" s="17">
        <v>5</v>
      </c>
      <c r="D43" s="60">
        <v>3</v>
      </c>
      <c r="E43" s="17">
        <v>2</v>
      </c>
      <c r="F43" s="17">
        <v>4</v>
      </c>
      <c r="G43" s="17">
        <f t="shared" si="3"/>
        <v>24</v>
      </c>
      <c r="H43" s="14"/>
    </row>
    <row r="44" spans="2:8" ht="15.75" customHeight="1" thickBot="1" x14ac:dyDescent="0.25">
      <c r="B44" s="4" t="s">
        <v>39</v>
      </c>
      <c r="C44" s="55">
        <v>3</v>
      </c>
      <c r="D44" s="61">
        <v>3</v>
      </c>
      <c r="E44" s="55">
        <v>1</v>
      </c>
      <c r="F44" s="55">
        <v>4</v>
      </c>
      <c r="G44" s="55">
        <f t="shared" si="3"/>
        <v>12</v>
      </c>
      <c r="H44" s="15"/>
    </row>
    <row r="45" spans="2:8" ht="15.75" customHeight="1" x14ac:dyDescent="0.2"/>
    <row r="46" spans="2:8" ht="15.75" customHeight="1" x14ac:dyDescent="0.2"/>
    <row r="47" spans="2:8" ht="15.75" customHeight="1" x14ac:dyDescent="0.2"/>
    <row r="48" spans="2: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</sheetData>
  <mergeCells count="12">
    <mergeCell ref="E3:H3"/>
    <mergeCell ref="E25:H25"/>
    <mergeCell ref="C2:H2"/>
    <mergeCell ref="C24:H24"/>
    <mergeCell ref="C13:H13"/>
    <mergeCell ref="H5:H11"/>
    <mergeCell ref="H16:H22"/>
    <mergeCell ref="H27:H33"/>
    <mergeCell ref="H38:H44"/>
    <mergeCell ref="E36:H36"/>
    <mergeCell ref="E14:H14"/>
    <mergeCell ref="C35:H35"/>
  </mergeCells>
  <dataValidations count="1">
    <dataValidation type="decimal" operator="lessThanOrEqual" allowBlank="1" showDropDown="1" showErrorMessage="1" sqref="C3 C11 C19 C27" xr:uid="{00000000-0002-0000-0000-000000000000}">
      <formula1>4</formula1>
    </dataValidation>
  </dataValidation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Camilo's PC</dc:creator>
  <cp:lastModifiedBy>Microsoft Office User</cp:lastModifiedBy>
  <dcterms:created xsi:type="dcterms:W3CDTF">2026-05-04T16:39:58Z</dcterms:created>
  <dcterms:modified xsi:type="dcterms:W3CDTF">2026-05-07T02:57:21Z</dcterms:modified>
</cp:coreProperties>
</file>